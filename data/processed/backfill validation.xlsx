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mi\tqqq-dca-backtest\data\processed\"/>
    </mc:Choice>
  </mc:AlternateContent>
  <xr:revisionPtr revIDLastSave="0" documentId="8_{75A5862B-8F22-4EB9-821F-39D13CDBFDC1}" xr6:coauthVersionLast="47" xr6:coauthVersionMax="47" xr10:uidLastSave="{00000000-0000-0000-0000-000000000000}"/>
  <bookViews>
    <workbookView xWindow="14295" yWindow="0" windowWidth="14610" windowHeight="15585" xr2:uid="{C038B750-4B07-44EC-B0F5-014415340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22" i="1"/>
  <c r="C21" i="1"/>
  <c r="C20" i="1" s="1"/>
  <c r="C22" i="1"/>
  <c r="C15" i="1"/>
  <c r="C14" i="1"/>
  <c r="B15" i="1" s="1"/>
  <c r="C16" i="1"/>
  <c r="B16" i="1"/>
  <c r="B9" i="1"/>
  <c r="B10" i="1"/>
  <c r="F4" i="1"/>
  <c r="F5" i="1"/>
  <c r="F3" i="1"/>
  <c r="C9" i="1"/>
  <c r="C8" i="1"/>
  <c r="C10" i="1"/>
  <c r="E4" i="1"/>
  <c r="E5" i="1"/>
  <c r="E3" i="1"/>
</calcChain>
</file>

<file path=xl/sharedStrings.xml><?xml version="1.0" encoding="utf-8"?>
<sst xmlns="http://schemas.openxmlformats.org/spreadsheetml/2006/main" count="8" uniqueCount="8">
  <si>
    <t>nasdaq 100</t>
  </si>
  <si>
    <t>OPEN</t>
  </si>
  <si>
    <t>CLOSE</t>
  </si>
  <si>
    <t xml:space="preserve">change </t>
  </si>
  <si>
    <t>overnight change</t>
  </si>
  <si>
    <t>tqqq 0%</t>
  </si>
  <si>
    <t>tqqq 5%</t>
  </si>
  <si>
    <t>tqqq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</si>
</sst>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94D3-1003-488A-B7C2-16378F5B3933}">
  <dimension ref="A1:F23"/>
  <sheetViews>
    <sheetView tabSelected="1" workbookViewId="0">
      <selection activeCell="E17" sqref="E17"/>
    </sheetView>
  </sheetViews>
  <sheetFormatPr defaultRowHeight="15" x14ac:dyDescent="0.25"/>
  <cols>
    <col min="1" max="1" width="11.140625" customWidth="1"/>
    <col min="2" max="2" width="15.85546875" customWidth="1"/>
    <col min="3" max="3" width="23.140625" customWidth="1"/>
    <col min="6" max="6" width="17.5703125" customWidth="1"/>
    <col min="7" max="7" width="19.2851562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s="1">
        <v>40217</v>
      </c>
      <c r="B2">
        <v>1744.02001953125</v>
      </c>
      <c r="C2">
        <v>1734.88000488281</v>
      </c>
    </row>
    <row r="3" spans="1:6" x14ac:dyDescent="0.25">
      <c r="A3" s="1">
        <v>40218</v>
      </c>
      <c r="B3">
        <v>1756.28002929687</v>
      </c>
      <c r="C3">
        <v>1753.83996582031</v>
      </c>
      <c r="E3">
        <f>C3/C2-1</f>
        <v>1.0928687219944555E-2</v>
      </c>
      <c r="F3">
        <f>B3/C2-1</f>
        <v>1.2335161137271511E-2</v>
      </c>
    </row>
    <row r="4" spans="1:6" x14ac:dyDescent="0.25">
      <c r="A4" s="1">
        <v>40219</v>
      </c>
      <c r="B4">
        <v>1752.4599609375</v>
      </c>
      <c r="C4">
        <v>1749.76000976562</v>
      </c>
      <c r="E4">
        <f>C4/C3-1</f>
        <v>-2.3262989407255574E-3</v>
      </c>
      <c r="F4">
        <f t="shared" ref="F4:F5" si="0">B4/C3-1</f>
        <v>-7.8684766552494789E-4</v>
      </c>
    </row>
    <row r="5" spans="1:6" x14ac:dyDescent="0.25">
      <c r="A5" s="1">
        <v>40220</v>
      </c>
      <c r="B5">
        <v>1747.55004882812</v>
      </c>
      <c r="C5">
        <v>1775.73999023437</v>
      </c>
      <c r="E5">
        <f>C5/C4-1</f>
        <v>1.4847739303534446E-2</v>
      </c>
      <c r="F5">
        <f t="shared" si="0"/>
        <v>-1.2630080269099286E-3</v>
      </c>
    </row>
    <row r="7" spans="1:6" x14ac:dyDescent="0.25">
      <c r="A7" t="s">
        <v>5</v>
      </c>
    </row>
    <row r="8" spans="1:6" x14ac:dyDescent="0.25">
      <c r="A8" s="1">
        <v>40217</v>
      </c>
      <c r="C8">
        <f t="shared" ref="C8:C9" si="1">C9/(1+E3*3)</f>
        <v>0.20188919617998463</v>
      </c>
    </row>
    <row r="9" spans="1:6" x14ac:dyDescent="0.25">
      <c r="A9" s="1">
        <v>40218</v>
      </c>
      <c r="B9">
        <f t="shared" ref="B8:B9" si="2">C8*(1+F3*3)</f>
        <v>0.20936020348024761</v>
      </c>
      <c r="C9">
        <f>C10/(1+E4*3)</f>
        <v>0.20850834781439587</v>
      </c>
    </row>
    <row r="10" spans="1:6" x14ac:dyDescent="0.25">
      <c r="A10" s="1">
        <v>40219</v>
      </c>
      <c r="B10">
        <f>C9*(1+F4*3)</f>
        <v>0.20801615489423519</v>
      </c>
      <c r="C10">
        <f>C11/(1+E5*3)</f>
        <v>0.20705318956843666</v>
      </c>
    </row>
    <row r="11" spans="1:6" x14ac:dyDescent="0.25">
      <c r="A11" s="1">
        <v>40220</v>
      </c>
      <c r="B11">
        <v>0.20343799889087599</v>
      </c>
      <c r="C11">
        <v>0.216276004910469</v>
      </c>
    </row>
    <row r="13" spans="1:6" x14ac:dyDescent="0.25">
      <c r="A13" t="s">
        <v>6</v>
      </c>
    </row>
    <row r="14" spans="1:6" x14ac:dyDescent="0.25">
      <c r="A14" s="1">
        <v>40217</v>
      </c>
      <c r="C14">
        <f t="shared" ref="C14:C15" si="3">C15/(1+E3*3-0.000203524105157004)</f>
        <v>0.20200974428422164</v>
      </c>
    </row>
    <row r="15" spans="1:6" x14ac:dyDescent="0.25">
      <c r="A15" s="1">
        <v>40218</v>
      </c>
      <c r="B15">
        <f>C14*(1+F3*3-0.000203524105157004)</f>
        <v>0.20944409867291786</v>
      </c>
      <c r="C15">
        <f>C16/(1+E4*3-0.000203524105157004)</f>
        <v>0.20859173436377293</v>
      </c>
    </row>
    <row r="16" spans="1:6" x14ac:dyDescent="0.25">
      <c r="A16" s="1">
        <v>40219</v>
      </c>
      <c r="B16">
        <f>C15*(1+F4*3-0.000203524105157004)</f>
        <v>0.20805689115999759</v>
      </c>
      <c r="C16">
        <f>C17/(1+E5*3-0.000203524105157004)</f>
        <v>0.20709354072560973</v>
      </c>
    </row>
    <row r="17" spans="1:3" x14ac:dyDescent="0.25">
      <c r="A17" s="1">
        <v>40220</v>
      </c>
      <c r="B17">
        <v>0.20343799889087599</v>
      </c>
      <c r="C17">
        <v>0.216276004910469</v>
      </c>
    </row>
    <row r="19" spans="1:3" x14ac:dyDescent="0.25">
      <c r="A19" t="s">
        <v>7</v>
      </c>
    </row>
    <row r="20" spans="1:3" x14ac:dyDescent="0.25">
      <c r="A20" s="1">
        <v>40217</v>
      </c>
      <c r="C20">
        <f t="shared" ref="C20:C21" si="4">C21/(1+E3*3-0.000418009893866533)</f>
        <v>0.20213688893549844</v>
      </c>
    </row>
    <row r="21" spans="1:3" x14ac:dyDescent="0.25">
      <c r="A21" s="1">
        <v>40218</v>
      </c>
      <c r="B21">
        <f>C20*(1+F3*3-0.000418009893866533)</f>
        <v>0.20953256700642642</v>
      </c>
      <c r="C21">
        <f t="shared" si="4"/>
        <v>0.20867966622037423</v>
      </c>
    </row>
    <row r="22" spans="1:3" x14ac:dyDescent="0.25">
      <c r="A22" s="1">
        <v>40219</v>
      </c>
      <c r="B22">
        <f>C21*(1+F4*3-0.000418009893866533)</f>
        <v>0.20809983873062127</v>
      </c>
      <c r="C22">
        <f>C23/(1+E5*3-0.000418009893866533)</f>
        <v>0.20713608219580709</v>
      </c>
    </row>
    <row r="23" spans="1:3" x14ac:dyDescent="0.25">
      <c r="A23" s="1">
        <v>40220</v>
      </c>
      <c r="B23">
        <v>0.20343799889087599</v>
      </c>
      <c r="C23">
        <v>0.216276004910469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Minhui Roh</dc:creator>
  <cp:lastModifiedBy>Minhui Roh</cp:lastModifiedBy>
  <dcterms:created xsi:type="dcterms:W3CDTF">2026-05-23T03:07:26Z</dcterms:created>
  <dcterms:modified xsi:type="dcterms:W3CDTF">2026-05-23T17:45:23Z</dcterms:modified>
</cp:coreProperties>
</file>